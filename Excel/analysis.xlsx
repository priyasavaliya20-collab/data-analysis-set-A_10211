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136c9e14ba35254/Desktop/Delivery Delay Analysis/"/>
    </mc:Choice>
  </mc:AlternateContent>
  <xr:revisionPtr revIDLastSave="34" documentId="13_ncr:1_{04626A1D-15B0-4BEB-BAB5-8BF641F0A90A}" xr6:coauthVersionLast="47" xr6:coauthVersionMax="47" xr10:uidLastSave="{718EE57A-1D6F-4525-8C3F-BC952EB31FE1}"/>
  <bookViews>
    <workbookView xWindow="-108" yWindow="-108" windowWidth="23256" windowHeight="12456" activeTab="2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</sheets>
  <definedNames>
    <definedName name="_xlchart.v1.0" hidden="1">Summary!$D$5</definedName>
    <definedName name="_xlchart.v1.1" hidden="1">Summary!$D$6</definedName>
    <definedName name="_xlchart.v1.2" hidden="1">Summary!$E$4:$G$4</definedName>
    <definedName name="_xlchart.v1.3" hidden="1">Summary!$E$5:$G$5</definedName>
    <definedName name="_xlchart.v1.4" hidden="1">Summary!$E$6:$G$6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K3" i="3"/>
  <c r="H3" i="3"/>
  <c r="G3" i="3"/>
  <c r="K2" i="3"/>
  <c r="H2" i="3"/>
  <c r="H2" i="1"/>
  <c r="B5" i="4" l="1"/>
  <c r="B7" i="4"/>
  <c r="B6" i="4"/>
  <c r="G6" i="4"/>
  <c r="K4" i="3"/>
  <c r="E5" i="4"/>
  <c r="F5" i="4"/>
  <c r="G5" i="4"/>
  <c r="E6" i="4"/>
  <c r="F6" i="4"/>
  <c r="G7" i="4" l="1"/>
  <c r="F7" i="4"/>
  <c r="E7" i="4"/>
</calcChain>
</file>

<file path=xl/sharedStrings.xml><?xml version="1.0" encoding="utf-8"?>
<sst xmlns="http://schemas.openxmlformats.org/spreadsheetml/2006/main" count="125" uniqueCount="39">
  <si>
    <t>record_id</t>
  </si>
  <si>
    <t>month</t>
  </si>
  <si>
    <t>route_id</t>
  </si>
  <si>
    <t>hub</t>
  </si>
  <si>
    <t>promised_days</t>
  </si>
  <si>
    <t>actual_days</t>
  </si>
  <si>
    <t>Row Count</t>
  </si>
  <si>
    <t>Jan</t>
  </si>
  <si>
    <t>R1</t>
  </si>
  <si>
    <t>Ahmedabad</t>
  </si>
  <si>
    <t>R2</t>
  </si>
  <si>
    <t>Chennai</t>
  </si>
  <si>
    <t>R3</t>
  </si>
  <si>
    <t>Delhi</t>
  </si>
  <si>
    <t>R4</t>
  </si>
  <si>
    <t>Mumbai</t>
  </si>
  <si>
    <t>Feb</t>
  </si>
  <si>
    <t>Mar</t>
  </si>
  <si>
    <t>route_name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</si>
  <si>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</si>
  <si>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</si>
  <si>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</si>
  <si>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</si>
  <si>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</si>
  <si>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</si>
  <si>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</si>
  <si>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</si>
  <si>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Cleaning Check</t>
  </si>
  <si>
    <t>Before Row Count</t>
  </si>
  <si>
    <t>After Row Count</t>
  </si>
  <si>
    <t>Duplicate Removed</t>
  </si>
  <si>
    <t>Task 1 — Summary</t>
  </si>
  <si>
    <t>Hub Delay Summary</t>
  </si>
  <si>
    <t>PivotTable — Total Delay Days by Service Type &amp; Month</t>
  </si>
  <si>
    <t>Hub</t>
  </si>
  <si>
    <t>Total Delay Days</t>
  </si>
  <si>
    <t>Service Type</t>
  </si>
  <si>
    <t>Grand Total</t>
  </si>
  <si>
    <t>Service type = rows | Month = columns (Jan → Feb → Mar) | Values = 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</si>
</sst>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Delay Days by Service Type &amp;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444444444444445E-2"/>
          <c:y val="0.28891258384368623"/>
          <c:w val="0.93888888888888888"/>
          <c:h val="0.60368802857976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Summary!$D$5</c:f>
              <c:strCache>
                <c:ptCount val="1"/>
                <c:pt idx="0">
                  <c:v>Express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Summary!$E$4:$G$4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Summary!$E$5:$G$5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B-4052-B89E-C9DEAC9B285A}"/>
            </c:ext>
          </c:extLst>
        </c:ser>
        <c:ser>
          <c:idx val="1"/>
          <c:order val="1"/>
          <c:tx>
            <c:strRef>
              <c:f>Summary!$D$6</c:f>
              <c:strCache>
                <c:ptCount val="1"/>
                <c:pt idx="0">
                  <c:v>Standard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Summary!$E$4:$G$4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Summary!$E$6:$G$6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B-4052-B89E-C9DEAC9B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64713039"/>
        <c:axId val="1185763727"/>
      </c:barChart>
      <c:catAx>
        <c:axId val="16647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63727"/>
        <c:crosses val="autoZero"/>
        <c:auto val="1"/>
        <c:lblAlgn val="ctr"/>
        <c:lblOffset val="100"/>
        <c:noMultiLvlLbl val="0"/>
      </c:catAx>
      <c:valAx>
        <c:axId val="1185763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471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1196340</xdr:colOff>
      <xdr:row>10</xdr:row>
      <xdr:rowOff>99060</xdr:rowOff>
    </xdr:from>
    <xdr:to>
      <xdr:col>7</xdr:col>
      <xdr:colOff>213360</xdr:colOff>
      <xdr:row>25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9AB5ED-C2D6-B23C-AC73-EE28AB93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4" customWidth="1"/>
    <col min="7" max="7" width="16" customWidth="1"/>
    <col min="8" max="8" width="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 s="3">
        <v>1</v>
      </c>
      <c r="B2" s="3" t="s">
        <v>7</v>
      </c>
      <c r="C2" s="3" t="s">
        <v>8</v>
      </c>
      <c r="D2" s="3" t="s">
        <v>9</v>
      </c>
      <c r="E2" s="3">
        <v>2</v>
      </c>
      <c r="F2" s="3">
        <v>2</v>
      </c>
      <c r="H2">
        <f>COUNTA(A2:A14)</f>
        <v>13</v>
      </c>
    </row>
    <row r="3" spans="1:8" x14ac:dyDescent="0.3">
      <c r="A3" s="3">
        <v>2</v>
      </c>
      <c r="B3" s="3" t="s">
        <v>7</v>
      </c>
      <c r="C3" s="3" t="s">
        <v>10</v>
      </c>
      <c r="D3" s="3" t="s">
        <v>11</v>
      </c>
      <c r="E3" s="3">
        <v>3</v>
      </c>
      <c r="F3" s="3">
        <v>4</v>
      </c>
    </row>
    <row r="4" spans="1:8" x14ac:dyDescent="0.3">
      <c r="A4" s="3">
        <v>3</v>
      </c>
      <c r="B4" s="3" t="s">
        <v>7</v>
      </c>
      <c r="C4" s="3" t="s">
        <v>12</v>
      </c>
      <c r="D4" s="3" t="s">
        <v>13</v>
      </c>
      <c r="E4" s="3">
        <v>5</v>
      </c>
      <c r="F4" s="3">
        <v>5</v>
      </c>
    </row>
    <row r="5" spans="1:8" x14ac:dyDescent="0.3">
      <c r="A5" s="3">
        <v>4</v>
      </c>
      <c r="B5" s="3" t="s">
        <v>7</v>
      </c>
      <c r="C5" s="3" t="s">
        <v>14</v>
      </c>
      <c r="D5" s="3" t="s">
        <v>15</v>
      </c>
      <c r="E5" s="3">
        <v>4</v>
      </c>
      <c r="F5" s="3">
        <v>10</v>
      </c>
    </row>
    <row r="6" spans="1:8" x14ac:dyDescent="0.3">
      <c r="A6" s="3">
        <v>5</v>
      </c>
      <c r="B6" s="3" t="s">
        <v>16</v>
      </c>
      <c r="C6" s="3" t="s">
        <v>8</v>
      </c>
      <c r="D6" s="3" t="s">
        <v>11</v>
      </c>
      <c r="E6" s="3">
        <v>2</v>
      </c>
      <c r="F6" s="3">
        <v>5</v>
      </c>
    </row>
    <row r="7" spans="1:8" x14ac:dyDescent="0.3">
      <c r="A7" s="3">
        <v>6</v>
      </c>
      <c r="B7" s="3" t="s">
        <v>16</v>
      </c>
      <c r="C7" s="3" t="s">
        <v>10</v>
      </c>
      <c r="D7" s="3" t="s">
        <v>13</v>
      </c>
      <c r="E7" s="3">
        <v>3</v>
      </c>
      <c r="F7" s="3">
        <v>3</v>
      </c>
    </row>
    <row r="8" spans="1:8" x14ac:dyDescent="0.3">
      <c r="A8" s="3">
        <v>7</v>
      </c>
      <c r="B8" s="3" t="s">
        <v>16</v>
      </c>
      <c r="C8" s="3" t="s">
        <v>12</v>
      </c>
      <c r="D8" s="3" t="s">
        <v>15</v>
      </c>
      <c r="E8" s="3">
        <v>5</v>
      </c>
      <c r="F8" s="3">
        <v>10</v>
      </c>
    </row>
    <row r="9" spans="1:8" x14ac:dyDescent="0.3">
      <c r="A9" s="3">
        <v>8</v>
      </c>
      <c r="B9" s="3" t="s">
        <v>16</v>
      </c>
      <c r="C9" s="3" t="s">
        <v>14</v>
      </c>
      <c r="D9" s="3" t="s">
        <v>11</v>
      </c>
      <c r="E9" s="3">
        <v>6</v>
      </c>
      <c r="F9" s="3">
        <v>7</v>
      </c>
    </row>
    <row r="10" spans="1:8" x14ac:dyDescent="0.3">
      <c r="A10" s="3">
        <v>9</v>
      </c>
      <c r="B10" s="3" t="s">
        <v>17</v>
      </c>
      <c r="C10" s="3" t="s">
        <v>8</v>
      </c>
      <c r="D10" s="3" t="s">
        <v>13</v>
      </c>
      <c r="E10" s="3">
        <v>2</v>
      </c>
      <c r="F10" s="3">
        <v>8</v>
      </c>
    </row>
    <row r="11" spans="1:8" x14ac:dyDescent="0.3">
      <c r="A11" s="3">
        <v>10</v>
      </c>
      <c r="B11" s="3" t="s">
        <v>17</v>
      </c>
      <c r="C11" s="3" t="s">
        <v>10</v>
      </c>
      <c r="D11" s="3" t="s">
        <v>15</v>
      </c>
      <c r="E11" s="3">
        <v>3</v>
      </c>
      <c r="F11" s="3">
        <v>5</v>
      </c>
    </row>
    <row r="12" spans="1:8" x14ac:dyDescent="0.3">
      <c r="A12" s="3">
        <v>11</v>
      </c>
      <c r="B12" s="3" t="s">
        <v>17</v>
      </c>
      <c r="C12" s="3" t="s">
        <v>12</v>
      </c>
      <c r="D12" s="3" t="s">
        <v>11</v>
      </c>
      <c r="E12" s="3">
        <v>5</v>
      </c>
      <c r="F12" s="3">
        <v>5</v>
      </c>
    </row>
    <row r="13" spans="1:8" x14ac:dyDescent="0.3">
      <c r="A13" s="3">
        <v>12</v>
      </c>
      <c r="B13" s="3" t="s">
        <v>17</v>
      </c>
      <c r="C13" s="3" t="s">
        <v>14</v>
      </c>
      <c r="D13" s="3" t="s">
        <v>15</v>
      </c>
      <c r="E13" s="3">
        <v>6</v>
      </c>
      <c r="F13" s="3">
        <v>15</v>
      </c>
    </row>
    <row r="14" spans="1:8" x14ac:dyDescent="0.3">
      <c r="A14" s="3">
        <v>12</v>
      </c>
      <c r="B14" s="3" t="s">
        <v>17</v>
      </c>
      <c r="C14" s="3" t="s">
        <v>14</v>
      </c>
      <c r="D14" s="3" t="s">
        <v>15</v>
      </c>
      <c r="E14" s="3">
        <v>6</v>
      </c>
      <c r="F14" s="3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2" customWidth="1"/>
    <col min="2" max="2" width="22" customWidth="1"/>
    <col min="3" max="3" width="18" customWidth="1"/>
  </cols>
  <sheetData>
    <row r="1" spans="1:3" x14ac:dyDescent="0.3">
      <c r="A1" s="1" t="s">
        <v>2</v>
      </c>
      <c r="B1" s="1" t="s">
        <v>18</v>
      </c>
      <c r="C1" s="1" t="s">
        <v>19</v>
      </c>
    </row>
    <row r="2" spans="1:3" x14ac:dyDescent="0.3">
      <c r="A2" s="3" t="s">
        <v>8</v>
      </c>
      <c r="B2" s="3" t="s">
        <v>20</v>
      </c>
      <c r="C2" s="3" t="s">
        <v>21</v>
      </c>
    </row>
    <row r="3" spans="1:3" x14ac:dyDescent="0.3">
      <c r="A3" s="3" t="s">
        <v>10</v>
      </c>
      <c r="B3" s="3" t="s">
        <v>22</v>
      </c>
      <c r="C3" s="3" t="s">
        <v>21</v>
      </c>
    </row>
    <row r="4" spans="1:3" x14ac:dyDescent="0.3">
      <c r="A4" s="3" t="s">
        <v>12</v>
      </c>
      <c r="B4" s="3" t="s">
        <v>23</v>
      </c>
      <c r="C4" s="3" t="s">
        <v>24</v>
      </c>
    </row>
    <row r="5" spans="1:3" x14ac:dyDescent="0.3">
      <c r="A5" s="3" t="s">
        <v>14</v>
      </c>
      <c r="B5" s="3" t="s">
        <v>25</v>
      </c>
      <c r="C5" s="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tabSelected="1" topLeftCell="E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4" customWidth="1"/>
    <col min="7" max="7" width="18" customWidth="1"/>
    <col min="8" max="8" width="14" customWidth="1"/>
    <col min="9" max="9" width="3" customWidth="1"/>
    <col min="10" max="10" width="22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26</v>
      </c>
      <c r="J1" s="2" t="s">
        <v>27</v>
      </c>
    </row>
    <row r="2" spans="1:11" x14ac:dyDescent="0.3">
      <c r="A2" s="3">
        <v>1</v>
      </c>
      <c r="B2" s="3" t="s">
        <v>7</v>
      </c>
      <c r="C2" s="3" t="s">
        <v>8</v>
      </c>
      <c r="D2" s="3" t="s">
        <v>9</v>
      </c>
      <c r="E2" s="3">
        <v>2</v>
      </c>
      <c r="F2" s="3">
        <v>2</v>
      </c>
      <c r="G2" s="3" t="str">
        <f>INDEX(Lookup!$C$2:$C$5,MATCH(C2,Lookup!$A$2:$A$5,0))</f>
        <v>Express</v>
      </c>
      <c r="H2" s="3">
        <f t="shared" ref="H2:H13" si="0">MAX(F2-E2,0)</f>
        <v>0</v>
      </c>
      <c r="J2" s="3" t="s">
        <v>28</v>
      </c>
      <c r="K2" s="3">
        <f>COUNTA(Raw!A2:A14)</f>
        <v>13</v>
      </c>
    </row>
    <row r="3" spans="1:11" x14ac:dyDescent="0.3">
      <c r="A3" s="3">
        <v>2</v>
      </c>
      <c r="B3" s="3" t="s">
        <v>7</v>
      </c>
      <c r="C3" s="3" t="s">
        <v>10</v>
      </c>
      <c r="D3" s="3" t="s">
        <v>11</v>
      </c>
      <c r="E3" s="3">
        <v>3</v>
      </c>
      <c r="F3" s="3">
        <v>4</v>
      </c>
      <c r="G3" s="3" t="str">
        <f>INDEX(Lookup!$C$2:$C$5,MATCH(C3,Lookup!$A$2:$A$5,0))</f>
        <v>Express</v>
      </c>
      <c r="H3" s="3">
        <f t="shared" si="0"/>
        <v>1</v>
      </c>
      <c r="J3" s="3" t="s">
        <v>29</v>
      </c>
      <c r="K3" s="3">
        <f>COUNTA(A2:A13)</f>
        <v>12</v>
      </c>
    </row>
    <row r="4" spans="1:11" x14ac:dyDescent="0.3">
      <c r="A4" s="3">
        <v>3</v>
      </c>
      <c r="B4" s="3" t="s">
        <v>7</v>
      </c>
      <c r="C4" s="3" t="s">
        <v>12</v>
      </c>
      <c r="D4" s="3" t="s">
        <v>13</v>
      </c>
      <c r="E4" s="3">
        <v>5</v>
      </c>
      <c r="F4" s="3">
        <v>5</v>
      </c>
      <c r="G4" s="3" t="str">
        <f>INDEX(Lookup!$C$2:$C$5,MATCH(C4,Lookup!$A$2:$A$5,0))</f>
        <v>Standard</v>
      </c>
      <c r="H4" s="3">
        <f t="shared" si="0"/>
        <v>0</v>
      </c>
      <c r="J4" s="3" t="s">
        <v>30</v>
      </c>
      <c r="K4" s="3">
        <f>K2-K3</f>
        <v>1</v>
      </c>
    </row>
    <row r="5" spans="1:11" x14ac:dyDescent="0.3">
      <c r="A5" s="3">
        <v>4</v>
      </c>
      <c r="B5" s="3" t="s">
        <v>7</v>
      </c>
      <c r="C5" s="3" t="s">
        <v>14</v>
      </c>
      <c r="D5" s="3" t="s">
        <v>15</v>
      </c>
      <c r="E5" s="3">
        <v>4</v>
      </c>
      <c r="F5" s="3">
        <v>10</v>
      </c>
      <c r="G5" s="3" t="str">
        <f>INDEX(Lookup!$C$2:$C$5,MATCH(C5,Lookup!$A$2:$A$5,0))</f>
        <v>Standard</v>
      </c>
      <c r="H5" s="3">
        <f t="shared" si="0"/>
        <v>6</v>
      </c>
    </row>
    <row r="6" spans="1:11" x14ac:dyDescent="0.3">
      <c r="A6" s="3">
        <v>5</v>
      </c>
      <c r="B6" s="3" t="s">
        <v>16</v>
      </c>
      <c r="C6" s="3" t="s">
        <v>8</v>
      </c>
      <c r="D6" s="3" t="s">
        <v>11</v>
      </c>
      <c r="E6" s="3">
        <v>2</v>
      </c>
      <c r="F6" s="3">
        <v>5</v>
      </c>
      <c r="G6" s="3" t="str">
        <f>INDEX(Lookup!$C$2:$C$5,MATCH(C6,Lookup!$A$2:$A$5,0))</f>
        <v>Express</v>
      </c>
      <c r="H6" s="3">
        <f t="shared" si="0"/>
        <v>3</v>
      </c>
    </row>
    <row r="7" spans="1:11" x14ac:dyDescent="0.3">
      <c r="A7" s="3">
        <v>6</v>
      </c>
      <c r="B7" s="3" t="s">
        <v>16</v>
      </c>
      <c r="C7" s="3" t="s">
        <v>10</v>
      </c>
      <c r="D7" s="3" t="s">
        <v>13</v>
      </c>
      <c r="E7" s="3">
        <v>3</v>
      </c>
      <c r="F7" s="3">
        <v>3</v>
      </c>
      <c r="G7" s="3" t="str">
        <f>INDEX(Lookup!$C$2:$C$5,MATCH(C7,Lookup!$A$2:$A$5,0))</f>
        <v>Express</v>
      </c>
      <c r="H7" s="3">
        <f t="shared" si="0"/>
        <v>0</v>
      </c>
    </row>
    <row r="8" spans="1:11" x14ac:dyDescent="0.3">
      <c r="A8" s="3">
        <v>7</v>
      </c>
      <c r="B8" s="3" t="s">
        <v>16</v>
      </c>
      <c r="C8" s="3" t="s">
        <v>12</v>
      </c>
      <c r="D8" s="3" t="s">
        <v>15</v>
      </c>
      <c r="E8" s="3">
        <v>5</v>
      </c>
      <c r="F8" s="3">
        <v>10</v>
      </c>
      <c r="G8" s="3" t="str">
        <f>INDEX(Lookup!$C$2:$C$5,MATCH(C8,Lookup!$A$2:$A$5,0))</f>
        <v>Standard</v>
      </c>
      <c r="H8" s="3">
        <f t="shared" si="0"/>
        <v>5</v>
      </c>
    </row>
    <row r="9" spans="1:11" x14ac:dyDescent="0.3">
      <c r="A9" s="3">
        <v>8</v>
      </c>
      <c r="B9" s="3" t="s">
        <v>16</v>
      </c>
      <c r="C9" s="3" t="s">
        <v>14</v>
      </c>
      <c r="D9" s="3" t="s">
        <v>11</v>
      </c>
      <c r="E9" s="3">
        <v>6</v>
      </c>
      <c r="F9" s="3">
        <v>7</v>
      </c>
      <c r="G9" s="3" t="str">
        <f>INDEX(Lookup!$C$2:$C$5,MATCH(C9,Lookup!$A$2:$A$5,0))</f>
        <v>Standard</v>
      </c>
      <c r="H9" s="3">
        <f t="shared" si="0"/>
        <v>1</v>
      </c>
    </row>
    <row r="10" spans="1:11" x14ac:dyDescent="0.3">
      <c r="A10" s="3">
        <v>9</v>
      </c>
      <c r="B10" s="3" t="s">
        <v>17</v>
      </c>
      <c r="C10" s="3" t="s">
        <v>8</v>
      </c>
      <c r="D10" s="3" t="s">
        <v>13</v>
      </c>
      <c r="E10" s="3">
        <v>2</v>
      </c>
      <c r="F10" s="3">
        <v>8</v>
      </c>
      <c r="G10" s="3" t="str">
        <f>INDEX(Lookup!$C$2:$C$5,MATCH(C10,Lookup!$A$2:$A$5,0))</f>
        <v>Express</v>
      </c>
      <c r="H10" s="3">
        <f t="shared" si="0"/>
        <v>6</v>
      </c>
    </row>
    <row r="11" spans="1:11" x14ac:dyDescent="0.3">
      <c r="A11" s="3">
        <v>10</v>
      </c>
      <c r="B11" s="3" t="s">
        <v>17</v>
      </c>
      <c r="C11" s="3" t="s">
        <v>10</v>
      </c>
      <c r="D11" s="3" t="s">
        <v>15</v>
      </c>
      <c r="E11" s="3">
        <v>3</v>
      </c>
      <c r="F11" s="3">
        <v>5</v>
      </c>
      <c r="G11" s="3" t="str">
        <f>INDEX(Lookup!$C$2:$C$5,MATCH(C11,Lookup!$A$2:$A$5,0))</f>
        <v>Express</v>
      </c>
      <c r="H11" s="3">
        <f t="shared" si="0"/>
        <v>2</v>
      </c>
    </row>
    <row r="12" spans="1:11" x14ac:dyDescent="0.3">
      <c r="A12" s="3">
        <v>11</v>
      </c>
      <c r="B12" s="3" t="s">
        <v>17</v>
      </c>
      <c r="C12" s="3" t="s">
        <v>12</v>
      </c>
      <c r="D12" s="3" t="s">
        <v>11</v>
      </c>
      <c r="E12" s="3">
        <v>5</v>
      </c>
      <c r="F12" s="3">
        <v>5</v>
      </c>
      <c r="G12" s="3" t="str">
        <f>INDEX(Lookup!$C$2:$C$5,MATCH(C12,Lookup!$A$2:$A$5,0))</f>
        <v>Standard</v>
      </c>
      <c r="H12" s="3">
        <f t="shared" si="0"/>
        <v>0</v>
      </c>
    </row>
    <row r="13" spans="1:11" x14ac:dyDescent="0.3">
      <c r="A13" s="3">
        <v>12</v>
      </c>
      <c r="B13" s="3" t="s">
        <v>17</v>
      </c>
      <c r="C13" s="3" t="s">
        <v>14</v>
      </c>
      <c r="D13" s="3" t="s">
        <v>15</v>
      </c>
      <c r="E13" s="3">
        <v>6</v>
      </c>
      <c r="F13" s="3">
        <v>15</v>
      </c>
      <c r="G13" s="3" t="str">
        <f>INDEX(Lookup!$C$2:$C$5,MATCH(C13,Lookup!$A$2:$A$5,0))</f>
        <v>Standard</v>
      </c>
      <c r="H13" s="3">
        <f t="shared" si="0"/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topLeftCell="B1" workbookViewId="0">
      <pane ySplit="1" topLeftCell="A4" activePane="bottomLeft" state="frozen"/>
      <selection pane="bottomLeft" activeCell="I12" sqref="I12"/>
    </sheetView>
  </sheetViews>
  <sheetFormatPr defaultRowHeight="14.4" x14ac:dyDescent="0.3"/>
  <cols>
    <col min="1" max="2" width="18" customWidth="1"/>
    <col min="3" max="3" width="3" customWidth="1"/>
    <col min="4" max="4" width="18" customWidth="1"/>
    <col min="5" max="7" width="14" customWidth="1"/>
    <col min="8" max="8" width="18" customWidth="1"/>
  </cols>
  <sheetData>
    <row r="1" spans="1:8" ht="21" x14ac:dyDescent="0.4">
      <c r="A1" s="7" t="s">
        <v>31</v>
      </c>
      <c r="B1" s="6"/>
      <c r="C1" s="6"/>
      <c r="D1" s="6"/>
      <c r="E1" s="6"/>
      <c r="F1" s="6"/>
      <c r="G1" s="6"/>
      <c r="H1" s="6"/>
    </row>
    <row r="3" spans="1:8" ht="15.6" x14ac:dyDescent="0.3">
      <c r="A3" s="4" t="s">
        <v>32</v>
      </c>
      <c r="D3" s="4" t="s">
        <v>33</v>
      </c>
    </row>
    <row r="4" spans="1:8" x14ac:dyDescent="0.3">
      <c r="A4" s="1" t="s">
        <v>34</v>
      </c>
      <c r="B4" s="1" t="s">
        <v>35</v>
      </c>
      <c r="D4" s="5" t="s">
        <v>36</v>
      </c>
      <c r="E4" s="5" t="s">
        <v>7</v>
      </c>
      <c r="F4" s="5" t="s">
        <v>16</v>
      </c>
      <c r="G4" s="5" t="s">
        <v>17</v>
      </c>
    </row>
    <row r="5" spans="1:8" x14ac:dyDescent="0.3">
      <c r="A5" s="3" t="s">
        <v>11</v>
      </c>
      <c r="B5" s="3">
        <f>SUMIFS(Clean!$H$2:$H$13,Clean!$D$2:$D$13,A5)</f>
        <v>5</v>
      </c>
      <c r="D5" s="3" t="s">
        <v>21</v>
      </c>
      <c r="E5" s="3">
        <f>SUMIFS(Clean!$H$2:$H$13,Clean!$G$2:$G$13,$D5,Clean!$B$2:$B$13,E$4)</f>
        <v>1</v>
      </c>
      <c r="F5" s="3">
        <f>SUMIFS(Clean!$H$2:$H$13,Clean!$G$2:$G$13,$D5,Clean!$B$2:$B$13,F$4)</f>
        <v>3</v>
      </c>
      <c r="G5" s="3">
        <f>SUMIFS(Clean!$H$2:$H$13,Clean!$G$2:$G$13,$D5,Clean!$B$2:$B$13,G$4)</f>
        <v>8</v>
      </c>
    </row>
    <row r="6" spans="1:8" x14ac:dyDescent="0.3">
      <c r="A6" s="3" t="s">
        <v>13</v>
      </c>
      <c r="B6" s="3">
        <f>SUMIFS(Clean!$H$2:$H$13,Clean!$D$2:$D$13,A6)</f>
        <v>6</v>
      </c>
      <c r="D6" s="3" t="s">
        <v>24</v>
      </c>
      <c r="E6" s="3">
        <f>SUMIFS(Clean!$H$2:$H$13,Clean!$G$2:$G$13,$D6,Clean!$B$2:$B$13,E$4)</f>
        <v>6</v>
      </c>
      <c r="F6" s="3">
        <f>SUMIFS(Clean!$H$2:$H$13,Clean!$G$2:$G$13,$D6,Clean!$B$2:$B$13,F$4)</f>
        <v>6</v>
      </c>
      <c r="G6" s="3">
        <f>SUMIFS(Clean!$H$2:$H$13,Clean!$G$2:$G$13,$D6,Clean!$B$2:$B$13,G$4)</f>
        <v>9</v>
      </c>
    </row>
    <row r="7" spans="1:8" x14ac:dyDescent="0.3">
      <c r="A7" s="3" t="s">
        <v>15</v>
      </c>
      <c r="B7" s="3">
        <f>SUMIFS(Clean!$H$2:$H$13,Clean!$D$2:$D$13,A7)</f>
        <v>22</v>
      </c>
      <c r="D7" s="3" t="s">
        <v>37</v>
      </c>
      <c r="E7" s="3">
        <f>SUM(E5:E6)</f>
        <v>7</v>
      </c>
      <c r="F7" s="3">
        <f>SUM(F5:F6)</f>
        <v>9</v>
      </c>
      <c r="G7" s="3">
        <f>SUM(G5:G6)</f>
        <v>17</v>
      </c>
    </row>
    <row r="9" spans="1:8" x14ac:dyDescent="0.3">
      <c r="D9" s="6" t="s">
        <v>38</v>
      </c>
      <c r="E9" s="6"/>
      <c r="F9" s="6"/>
      <c r="G9" s="6"/>
      <c r="H9" s="6"/>
    </row>
  </sheetData>
  <mergeCells count="2">
    <mergeCell ref="D9:H9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priyasavaliya20@outlook.com</cp:lastModifiedBy>
  <dcterms:created xsi:type="dcterms:W3CDTF">2026-09-26T06:53:49Z</dcterms:created>
  <dcterms:modified xsi:type="dcterms:W3CDTF">2026-09-26T09:28:58Z</dcterms:modified>
</cp:coreProperties>
</file>